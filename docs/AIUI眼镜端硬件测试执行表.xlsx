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240" windowHeight="14040" activeTab="2"/>
  </bookViews>
  <sheets>
    <sheet name="执行看板" sheetId="1" r:id="rId1"/>
    <sheet name="测试用例" sheetId="2" r:id="rId2"/>
    <sheet name="设备准备" sheetId="3" r:id="rId3"/>
    <sheet name="本轮口径" sheetId="4" r:id="rId4"/>
  </sheets>
  <definedNames>
    <definedName name="_xlnm._FilterDatabase" localSheetId="1" hidden="1">测试用例!$A$4:$K$33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<sst xmlns="http://schemas.openxmlformats.org/spreadsheetml/2006/main" count="413" uniqueCount="245">
  <si>
    <t>AIUI 眼镜端 · 硬件测试执行表</t>
  </si>
  <si>
    <t>MVP 口径(2026-07-08):暂不做登录,后端记忆/上传链路暂缓;硬件真机测试为主。结果在《测试用例》页填写,本页统计自动更新</t>
  </si>
  <si>
    <t>一、退出门槛</t>
  </si>
  <si>
    <t>· 必过项(5):A-02 一键开跑 / A-03 无心率跑步 / A-08 息屏暂停恢复 / A-10 断网兜底 / A-11 物理按键</t>
  </si>
  <si>
    <t>· P0 用例(A 系 + H-01)至少 10/12 通过(A-12b、A-14b 暂缓项不计入分母)</t>
  </si>
  <si>
    <t>· A-06 不过 → 产品口径改『手动授权后自动优先连接』;A-09 不过但 A-10 过 → 可先做文本教练 Alpha</t>
  </si>
  <si>
    <t>· 全部必过项通过 → 真机成熟度可从 88 分复评;随后走 AIUI Studio 签名提审</t>
  </si>
  <si>
    <t>二、进度统计(自动)</t>
  </si>
  <si>
    <t>通过</t>
  </si>
  <si>
    <t>失败</t>
  </si>
  <si>
    <t>阻塞</t>
  </si>
  <si>
    <t>跳过</t>
  </si>
  <si>
    <t>未测</t>
  </si>
  <si>
    <t>必过项通过数</t>
  </si>
  <si>
    <t>三、建议执行顺序(半天可完成主线)</t>
  </si>
  <si>
    <t>第1批·冒烟(15min)</t>
  </si>
  <si>
    <t>A-01 → A-02 → A-03(可缩短到3分钟先验刷新) → A-04(浏览器)</t>
  </si>
  <si>
    <t>第2批·BLE(40min)</t>
  </si>
  <si>
    <t>烧录 ESP32 固件 → A-05 → A-06 → A-07 → H-01 → H-02;Fenix 8 复测 A-05~07</t>
  </si>
  <si>
    <t>第3批·恢复按键(20min)</t>
  </si>
  <si>
    <t>A-08(有/无心率各一次) → A-13 → A-11 → H-05</t>
  </si>
  <si>
    <t>第4批·语音(20min)</t>
  </si>
  <si>
    <t>A-09 → H-06 → H-07 → A-10(飞行模式)</t>
  </si>
  <si>
    <t>第5批·降级(10min)</t>
  </si>
  <si>
    <t>A-12a → A-14a(均为默认无 key 状态,顺手完成)</t>
  </si>
  <si>
    <t>外场·观察项</t>
  </si>
  <si>
    <t>B-02 功耗 / B-03 距离标定(操场) / B-04 TTS 延迟;B-05~07 室内补</t>
  </si>
  <si>
    <t>测试用例 · 执行时填『结果/实测记录』两列</t>
  </si>
  <si>
    <t>共 29 条(P0必过 5 · P0 9 · P1 13 · 暂缓 2)· 结果列有下拉</t>
  </si>
  <si>
    <t>ID</t>
  </si>
  <si>
    <t>组</t>
  </si>
  <si>
    <t>优先级</t>
  </si>
  <si>
    <t>用例</t>
  </si>
  <si>
    <t>前置条件</t>
  </si>
  <si>
    <t>执行步骤</t>
  </si>
  <si>
    <t>通过标准</t>
  </si>
  <si>
    <t>设备</t>
  </si>
  <si>
    <t>结果</t>
  </si>
  <si>
    <t>实测记录</t>
  </si>
  <si>
    <t>修复跟进</t>
  </si>
  <si>
    <t>A-01</t>
  </si>
  <si>
    <t>①冒烟</t>
  </si>
  <si>
    <t>P0</t>
  </si>
  <si>
    <t>首屏进入</t>
  </si>
  <si>
    <t>Agent 已装(带 accelerometer 权限重传包)</t>
  </si>
  <si>
    <t>打开 AISmartRun</t>
  </si>
  <si>
    <t>默认进首页;显示单眼镜就绪+心率就绪状态(已关闭/不可用/已记住/待配对之一);首页不发起蓝牙连接;无错误弹窗</t>
  </si>
  <si>
    <t>眼镜</t>
  </si>
  <si>
    <t/>
  </si>
  <si>
    <t>A-02</t>
  </si>
  <si>
    <t>P0必过</t>
  </si>
  <si>
    <t>一键开跑</t>
  </si>
  <si>
    <t>首页停留</t>
  </si>
  <si>
    <t>首页点『开跑』或 Enter/Space/GlobalHook</t>
  </si>
  <si>
    <t>3 秒内进 HUD 并开始计时;首句语音『开跑，呼吸放稳。』</t>
  </si>
  <si>
    <t>A-03</t>
  </si>
  <si>
    <t>无心率跑步 10 分钟</t>
  </si>
  <si>
    <t>不开任何心率设备</t>
  </si>
  <si>
    <t>戴眼镜跑/走 10 分钟</t>
  </si>
  <si>
    <t>无心率列;时长持续刷新;步频随动作变化;距离/配速有值;不崩溃</t>
  </si>
  <si>
    <t>A-04</t>
  </si>
  <si>
    <t>加速度计不可用兜底</t>
  </si>
  <si>
    <t>浏览器 Craft 预览(宿主无 Accelerometer)</t>
  </si>
  <si>
    <t>Craft 打开 run_hud</t>
  </si>
  <si>
    <t>显示『仅计时』态,时长走、其余不显示假值;不崩溃</t>
  </si>
  <si>
    <t>浏览器</t>
  </si>
  <si>
    <t>A-05</t>
  </si>
  <si>
    <t>②BLE心率</t>
  </si>
  <si>
    <t>设备页扫描配对</t>
  </si>
  <si>
    <t>Fenix 8 开广播心率 或 ESP32 已烧 HRS 固件</t>
  </si>
  <si>
    <t>首页→设备页→搜索设备</t>
  </si>
  <si>
    <t>可发现标准 HRS 设备;连接验证后保存为首选;状态『已记住』</t>
  </si>
  <si>
    <t>眼镜+Fenix8/ESP32</t>
  </si>
  <si>
    <t>A-06</t>
  </si>
  <si>
    <t>已记住设备优先连接</t>
  </si>
  <si>
    <t>A-05 已保存首选;设备继续广播</t>
  </si>
  <si>
    <t>回首页→开跑进 HUD</t>
  </si>
  <si>
    <t>HUD 自动优先连首选设备;收到有效 bpm 后同屏出现心率列+区间点阵</t>
  </si>
  <si>
    <t>A-07</t>
  </si>
  <si>
    <t>心率断连回退</t>
  </si>
  <si>
    <t>A-06 心率已接入,跑步中</t>
  </si>
  <si>
    <t>关闭设备广播(Fenix 关广播/ESP32 断电)</t>
  </si>
  <si>
    <t>8 秒内静默回单眼镜模式;心率列消失;跑步计时不中断</t>
  </si>
  <si>
    <t>H-01</t>
  </si>
  <si>
    <t>断连自动重连</t>
  </si>
  <si>
    <t>A-07 后设备重新开播;留在 HUD</t>
  </si>
  <si>
    <t>重新打开广播,或息屏再回 HUD(onShow 重试)</t>
  </si>
  <si>
    <t>回到 HUD 触发自动重连;心率列恢复;无重复连接/崩溃</t>
  </si>
  <si>
    <t>眼镜+ESP32</t>
  </si>
  <si>
    <t>H-02</t>
  </si>
  <si>
    <t>P1</t>
  </si>
  <si>
    <t>首扫手势门槛确认(=B-01)</t>
  </si>
  <si>
    <t>清除首选设备</t>
  </si>
  <si>
    <t>冷启动→首页直接开跑,观察 HUD 自动扫描是否被拒</t>
  </si>
  <si>
    <t>记录:onLoad 自动扫描能否成功;被拒则确认产品口径『首次需设备页授权』成立</t>
  </si>
  <si>
    <t>H-03</t>
  </si>
  <si>
    <t>异常包边界(nRF 模拟)</t>
  </si>
  <si>
    <t>第二台 Android 装 nRF Connect 建 GATT server</t>
  </si>
  <si>
    <t>模拟 HR=0/字段缺失/notify 停止不断连</t>
  </si>
  <si>
    <t>HR=0 或非法包不显示心率;notify 停 8 秒回单眼镜;不崩溃</t>
  </si>
  <si>
    <t>眼镜+安卓机</t>
  </si>
  <si>
    <t>H-04</t>
  </si>
  <si>
    <t>反面设备优雅失败</t>
  </si>
  <si>
    <t>Apple Watch 不做任何配置</t>
  </si>
  <si>
    <t>设备页扫描时 Apple Watch 在旁</t>
  </si>
  <si>
    <t>不误连;无标准 HRS 的设备被忽略或提示不支持;不崩溃</t>
  </si>
  <si>
    <t>眼镜+AppleWatch</t>
  </si>
  <si>
    <t>A-08</t>
  </si>
  <si>
    <t>③恢复按键</t>
  </si>
  <si>
    <t>息屏自动暂停与恢复</t>
  </si>
  <si>
    <t>跑步中(有/无心率各测一次)</t>
  </si>
  <si>
    <t>息屏 1 分钟→回到 HUD</t>
  </si>
  <si>
    <t>暂停期间时长不增加;显示『已暂停』;恢复后 10 秒内步频恢复刷新;无双倍跳秒/重复传感器</t>
  </si>
  <si>
    <t>A-13</t>
  </si>
  <si>
    <t>防误触双击退出</t>
  </si>
  <si>
    <t>跑步中</t>
  </si>
  <si>
    <t>单击 Backspace 等 3 秒;再测 3 秒内双击</t>
  </si>
  <si>
    <t>单击显示『再按一次结束』,3 秒不按第二次继续跑;双击才结束返回</t>
  </si>
  <si>
    <t>A-11</t>
  </si>
  <si>
    <t>全页面物理 Backspace</t>
  </si>
  <si>
    <t>逐页进入</t>
  </si>
  <si>
    <t>首页/设备/设置/HUD/教练页分别按 Backspace</t>
  </si>
  <si>
    <t>首页退出;设备/设置返回;HUD 走双击确认;教练进行中先取消、空闲则返回;无资源泄漏</t>
  </si>
  <si>
    <t>H-05</t>
  </si>
  <si>
    <t>方向键+Enter 全链路</t>
  </si>
  <si>
    <t>—</t>
  </si>
  <si>
    <t>首页/设备页/设置页用方向键移动焦点+Enter 激活</t>
  </si>
  <si>
    <t>焦点边框正确移动;Enter/Space/GlobalHook 激活当前项;设置页可改步长/开关</t>
  </si>
  <si>
    <t>A-09</t>
  </si>
  <si>
    <t>④语音教练</t>
  </si>
  <si>
    <t>AI 语音问答闭环</t>
  </si>
  <si>
    <t>跑步中(先跑 2 分钟出数据)</t>
  </si>
  <si>
    <t>进教练页→按键开始说话→问『现在配速怎么样』</t>
  </si>
  <si>
    <t>ASR 正确识别;LanguageModel 短答(一句话,含真实配速);TTS 播出或文本可读</t>
  </si>
  <si>
    <t>眼镜+手机网络</t>
  </si>
  <si>
    <t>A-10</t>
  </si>
  <si>
    <t>断网规则兜底</t>
  </si>
  <si>
    <t>手机开飞行模式</t>
  </si>
  <si>
    <t>教练页提问</t>
  </si>
  <si>
    <t>本地规则回答;有实时数据引用数据,无数据答『暂无运动数据』口径;不编造数字</t>
  </si>
  <si>
    <t>H-06</t>
  </si>
  <si>
    <t>主动语音播报</t>
  </si>
  <si>
    <t>跑步中持续 5 分钟+</t>
  </si>
  <si>
    <t>观察整公里/每 5 分钟/Z4/Z5 播报</t>
  </si>
  <si>
    <t>对应节点播出短句(≤15字);Z5 持续时每分钟重复;不打断数据显示</t>
  </si>
  <si>
    <t>眼镜+ESP32(拉高心率值)</t>
  </si>
  <si>
    <t>H-07</t>
  </si>
  <si>
    <t>LLM 挂起超时兜底</t>
  </si>
  <si>
    <t>弱网(手机限速/信号差)</t>
  </si>
  <si>
    <t>教练页提问,观察&gt;10 秒无回答场景</t>
  </si>
  <si>
    <t>10 秒超时后落规则兜底回答;不永久停在『思考』</t>
  </si>
  <si>
    <t>A-12a</t>
  </si>
  <si>
    <t>⑤降级边界</t>
  </si>
  <si>
    <t>无 key 跳过登录(本轮口径)</t>
  </si>
  <si>
    <t>不注入 coach_app_key(默认状态)</t>
  </si>
  <si>
    <t>教练页完成一次问答</t>
  </si>
  <si>
    <t>客户端不发登录请求(不付超时);教练回答不受影响;记忆静默关闭</t>
  </si>
  <si>
    <t>A-14a</t>
  </si>
  <si>
    <t>跑步摘要入队不上传</t>
  </si>
  <si>
    <t>不注入 key;跑 2 分钟双击退出</t>
  </si>
  <si>
    <t>退出后再进首页</t>
  </si>
  <si>
    <t>无网络请求发出;待传队列保留(cap 5);首页无卡顿</t>
  </si>
  <si>
    <t>A-12b</t>
  </si>
  <si>
    <t>暂缓</t>
  </si>
  <si>
    <t>记忆链路端到端(需后端)</t>
  </si>
  <si>
    <t>注入 coach_app_key + 修生产 nginx</t>
  </si>
  <si>
    <t>问答→查后端记录</t>
  </si>
  <si>
    <t>匿名登录成功;记忆上下文注入;记录写回——**本轮暂缓(不做登录)**</t>
  </si>
  <si>
    <t>眼镜+后端</t>
  </si>
  <si>
    <t>A-14b</t>
  </si>
  <si>
    <t>跑步记录落库补传(需后端)</t>
  </si>
  <si>
    <t>注入 key</t>
  </si>
  <si>
    <t>跑步→退出→首页补传→查 GET /api/runs</t>
  </si>
  <si>
    <t>source=aiui 记录落库,指标一致——**本轮暂缓(不做登录)**</t>
  </si>
  <si>
    <t>B-02</t>
  </si>
  <si>
    <t>⑥观察项</t>
  </si>
  <si>
    <t>1Hz 功耗与发热</t>
  </si>
  <si>
    <t>满电开跑</t>
  </si>
  <si>
    <t>连续跑 20 分钟</t>
  </si>
  <si>
    <t>记录:电量消耗 %/发热主观分(1-5)/有无卡顿掉帧</t>
  </si>
  <si>
    <t>B-03</t>
  </si>
  <si>
    <t>IMU 距离误差标定</t>
  </si>
  <si>
    <t>已知 400m 操场或 1km 直路;对照 Fenix 8</t>
  </si>
  <si>
    <t>按标准距离跑,对比 HUD 距离</t>
  </si>
  <si>
    <t>记录误差百分比;&gt;20% 需调步长默认值或文案再降预期</t>
  </si>
  <si>
    <t>眼镜+Fenix8</t>
  </si>
  <si>
    <t>B-04</t>
  </si>
  <si>
    <t>TTS 延迟</t>
  </si>
  <si>
    <t>A-09 可用</t>
  </si>
  <si>
    <t>问答 5 次</t>
  </si>
  <si>
    <t>记录:回答生成→播报开始的延迟均值</t>
  </si>
  <si>
    <t>B-05</t>
  </si>
  <si>
    <t>英文预览宽度</t>
  </si>
  <si>
    <t>打开英文预览 HTML 对照真机字宽</t>
  </si>
  <si>
    <t>无溢出;溢出则记录截图</t>
  </si>
  <si>
    <t>B-06</t>
  </si>
  <si>
    <t>Studio 包与本地包差异</t>
  </si>
  <si>
    <t>AIUI Studio 可用</t>
  </si>
  <si>
    <t>官方打包 vs 本地 .aix reader 检查</t>
  </si>
  <si>
    <t>页面/权限/版本一致;记录差异</t>
  </si>
  <si>
    <t>PC</t>
  </si>
  <si>
    <t>B-07</t>
  </si>
  <si>
    <t>CXR-L 共存验证</t>
  </si>
  <si>
    <t>手机 side-load relay-apk</t>
  </si>
  <si>
    <t>同副眼镜:AIUI Agent 与 CXR-L HUD 切换</t>
  </si>
  <si>
    <t>记录能否共存/互相抢占;结论回写 DUAL_PRODUCT_COMMERCIAL_EVAL 缝3</t>
  </si>
  <si>
    <t>眼镜+手机</t>
  </si>
  <si>
    <t>设备准备清单</t>
  </si>
  <si>
    <t>测试开始前逐项打勾;来源 DEVICES.md + PROGRESS 待办</t>
  </si>
  <si>
    <t>设备/项</t>
  </si>
  <si>
    <t>准备步骤</t>
  </si>
  <si>
    <t>用途</t>
  </si>
  <si>
    <t>完成</t>
  </si>
  <si>
    <t>眼镜/包</t>
  </si>
  <si>
    <t>Rokid Glasses 开启 AIUI 调试(Rokid AI APP→设置→开发者→AIUI 调试)</t>
  </si>
  <si>
    <t>前置</t>
  </si>
  <si>
    <t>Agent 重新打包上传:必须带 accelerometer 权限(否则 IMU 计步全挂,A-03 必失败)</t>
  </si>
  <si>
    <t>🔴 硬前置</t>
  </si>
  <si>
    <t>手机 Rokid AI APP 已登录,可运行当前 Agent;手机网络可用</t>
  </si>
  <si>
    <t>ESP32 模拟器</t>
  </si>
  <si>
    <t>烧录 tools/esp32_hr_sim/esp32_hr_sim.ino(标准 HRS 0x180D,60-170bpm,断开自动重广播)</t>
  </si>
  <si>
    <t>测 A-05/06/07/H-01/H-06</t>
  </si>
  <si>
    <t>Garmin Fenix 8</t>
  </si>
  <si>
    <t>表上开:设置→传感器与配件→手腕式心率→广播心率(只用标准 HR 广播,不用 ANT+)</t>
  </si>
  <si>
    <t>测 A-05/06/07 + B-03 对照</t>
  </si>
  <si>
    <t>Apple Watch S7</t>
  </si>
  <si>
    <t>无需任何配置,反面用例(验证非标设备被忽略)</t>
  </si>
  <si>
    <t>测 H-04</t>
  </si>
  <si>
    <t>安卓备用机</t>
  </si>
  <si>
    <t>装 nRF Connect,建 GATT server 模拟 HR=0/残包/notify 停</t>
  </si>
  <si>
    <t>测 H-03(可选)</t>
  </si>
  <si>
    <t>Chronos 手表</t>
  </si>
  <si>
    <t>出厂私有协议未重刷 → 本轮不用</t>
  </si>
  <si>
    <t>场地</t>
  </si>
  <si>
    <t>400m 操场或已知 1km 直路(B-03 距离标定);手机可开飞行模式(A-10)</t>
  </si>
  <si>
    <t>外场批次</t>
  </si>
  <si>
    <t>本轮口径与暂缓项</t>
  </si>
  <si>
    <t>决策记录(2026-07-08),避免执行中翻旧文档</t>
  </si>
  <si>
    <t>做</t>
  </si>
  <si>
    <t>硬件主线:IMU 计步/BLE 心率(连接·断连·重连·边界包)/息屏恢复/物理按键/语音闭环(宿主 ASR/LLM/TTS)/断网兜底</t>
  </si>
  <si>
    <t>无 key 降级路径(A-12a/A-14a):验证『不登录一切正常』——不发登录请求、教练可用、摘要只入队不上传</t>
  </si>
  <si>
    <t>登录/后端链路(A-12b 记忆、A-14b 落库补传):眼镜端暂不做登录;coach_app_key 不注入;生产 nginx bug 修复不阻塞本轮</t>
  </si>
  <si>
    <t>账号绑定(匿名↔手机号)、跑后总结卡、自定义 maxHr —— 均列 M1,不阻塞硬件验证</t>
  </si>
  <si>
    <t>提醒</t>
  </si>
  <si>
    <t>若后续开通后端链路:先注入 coach_app_key、修生产 nginx POST 转发 bug,再补测 A-12b/A-14b 两条即可,用例已写好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</si>
</sst>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11"/>
      <color theme="1"/>
      <name val="宋体"/>
      <charset val="134"/>
      <scheme val="minor"/>
    </font>
    <font>
      <b/>
      <sz val="16"/>
      <color rgb="FF0F5132"/>
      <name val="Microsoft YaHei"/>
      <charset val="134"/>
    </font>
    <font>
      <i/>
      <sz val="9"/>
      <color rgb="FF6B7280"/>
      <name val="Microsoft YaHei"/>
      <charset val="134"/>
    </font>
    <font>
      <b/>
      <sz val="10"/>
      <color rgb="FF0F5132"/>
      <name val="Microsoft YaHei"/>
      <charset val="134"/>
    </font>
    <font>
      <sz val="10"/>
      <color rgb="FF1F2937"/>
      <name val="Microsoft YaHei"/>
      <charset val="134"/>
    </font>
    <font>
      <b/>
      <sz val="10"/>
      <color rgb="FFB91C1C"/>
      <name val="Microsoft YaHei"/>
      <charset val="134"/>
    </font>
    <font>
      <b/>
      <sz val="10"/>
      <color rgb="FF92400E"/>
      <name val="Microsoft YaHei"/>
      <charset val="134"/>
    </font>
    <font>
      <b/>
      <sz val="10"/>
      <color rgb="FFFFFFFF"/>
      <name val="Microsoft YaHei"/>
      <charset val="134"/>
    </font>
    <font>
      <sz val="10"/>
      <color rgb="FF9CA3AF"/>
      <name val="Microsoft YaHei"/>
      <charset val="134"/>
    </font>
    <font>
      <b/>
      <sz val="11"/>
      <color rgb="FF1F2937"/>
      <name val="Microsoft YaHei"/>
      <charset val="134"/>
    </font>
    <font>
      <b/>
      <sz val="11"/>
      <color rgb="FF000000"/>
      <name val="Microsoft YaHei"/>
      <charset val="134"/>
    </font>
    <font>
      <b/>
      <sz val="11"/>
      <color rgb="FF0F5132"/>
      <name val="Microsoft YaHei"/>
      <charset val="134"/>
    </font>
    <font>
      <b/>
      <sz val="10"/>
      <color rgb="FF1F2937"/>
      <name val="Microsoft YaHe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6">
    <fill>
      <patternFill patternType="none"/>
    </fill>
    <fill>
      <patternFill patternType="gray125"/>
    </fill>
    <fill>
      <patternFill patternType="solid">
        <fgColor rgb="FFD1FAE5"/>
        <bgColor indexed="64"/>
      </patternFill>
    </fill>
    <fill>
      <patternFill patternType="solid">
        <fgColor rgb="FFFEE2E2"/>
        <bgColor indexed="64"/>
      </patternFill>
    </fill>
    <fill>
      <patternFill patternType="solid">
        <fgColor rgb="FFFEF3C7"/>
        <bgColor indexed="64"/>
      </patternFill>
    </fill>
    <fill>
      <patternFill patternType="solid">
        <fgColor rgb="FF0F5132"/>
        <bgColor indexed="64"/>
      </patternFill>
    </fill>
    <fill>
      <patternFill patternType="solid">
        <fgColor rgb="FFFFE4CC"/>
        <bgColor indexed="64"/>
      </patternFill>
    </fill>
    <fill>
      <patternFill patternType="solid">
        <fgColor rgb="FFFECACA"/>
        <bgColor indexed="64"/>
      </patternFill>
    </fill>
    <fill>
      <patternFill patternType="solid">
        <fgColor rgb="FFDBEAFE"/>
        <bgColor indexed="64"/>
      </patternFill>
    </fill>
    <fill>
      <patternFill patternType="solid">
        <fgColor rgb="FFFFF9C4"/>
        <bgColor indexed="64"/>
      </patternFill>
    </fill>
    <fill>
      <patternFill patternType="solid">
        <fgColor rgb="FFFCE7F3"/>
        <bgColor indexed="64"/>
      </patternFill>
    </fill>
    <fill>
      <patternFill patternType="solid">
        <fgColor rgb="FFE9D5FF"/>
        <bgColor indexed="64"/>
      </patternFill>
    </fill>
    <fill>
      <patternFill patternType="solid">
        <fgColor rgb="FFE5E7EB"/>
        <bgColor indexed="64"/>
      </patternFill>
    </fill>
    <fill>
      <patternFill patternType="solid">
        <fgColor rgb="FFF1F5F9"/>
        <bgColor indexed="64"/>
      </patternFill>
    </fill>
    <fill>
      <patternFill patternType="solid">
        <fgColor rgb="FFF0FDF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3" fillId="0" borderId="0" applyFont="0" applyFill="0" applyBorder="0" applyAlignment="0" applyProtection="0">
      <alignment vertical="center"/>
    </xf>
    <xf numFmtId="44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2" fontId="13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3" fillId="15" borderId="2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20" fillId="0" borderId="3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16" borderId="5" applyNumberFormat="0" applyAlignment="0" applyProtection="0">
      <alignment vertical="center"/>
    </xf>
    <xf numFmtId="0" fontId="23" fillId="17" borderId="6" applyNumberFormat="0" applyAlignment="0" applyProtection="0">
      <alignment vertical="center"/>
    </xf>
    <xf numFmtId="0" fontId="24" fillId="17" borderId="5" applyNumberFormat="0" applyAlignment="0" applyProtection="0">
      <alignment vertical="center"/>
    </xf>
    <xf numFmtId="0" fontId="25" fillId="18" borderId="7" applyNumberFormat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  <xf numFmtId="0" fontId="32" fillId="39" borderId="0" applyNumberFormat="0" applyBorder="0" applyAlignment="0" applyProtection="0">
      <alignment vertical="center"/>
    </xf>
    <xf numFmtId="0" fontId="32" fillId="40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32" fillId="44" borderId="0" applyNumberFormat="0" applyBorder="0" applyAlignment="0" applyProtection="0">
      <alignment vertical="center"/>
    </xf>
    <xf numFmtId="0" fontId="31" fillId="45" borderId="0" applyNumberFormat="0" applyBorder="0" applyAlignment="0" applyProtection="0">
      <alignment vertical="center"/>
    </xf>
  </cellStyleXfs>
  <cellXfs count="29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0" fontId="5" fillId="3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11" borderId="1" xfId="0" applyFont="1" applyFill="1" applyBorder="1" applyAlignment="1">
      <alignment horizontal="center" vertical="center" wrapText="1"/>
    </xf>
    <xf numFmtId="0" fontId="8" fillId="12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top" wrapText="1"/>
    </xf>
    <xf numFmtId="0" fontId="4" fillId="13" borderId="1" xfId="0" applyFont="1" applyFill="1" applyBorder="1" applyAlignment="1">
      <alignment horizontal="center" vertical="center" wrapText="1"/>
    </xf>
    <xf numFmtId="0" fontId="9" fillId="0" borderId="0" xfId="0" applyFont="1"/>
    <xf numFmtId="0" fontId="4" fillId="0" borderId="0" xfId="0" applyFont="1" applyAlignment="1">
      <alignment horizontal="left" vertical="top" wrapText="1"/>
    </xf>
    <xf numFmtId="0" fontId="10" fillId="0" borderId="1" xfId="0" applyFont="1" applyBorder="1" applyAlignment="1">
      <alignment horizontal="center" vertical="center" wrapText="1"/>
    </xf>
    <xf numFmtId="0" fontId="4" fillId="0" borderId="0" xfId="0" applyFont="1"/>
    <xf numFmtId="0" fontId="11" fillId="0" borderId="0" xfId="0" applyFont="1"/>
    <xf numFmtId="0" fontId="12" fillId="14" borderId="1" xfId="0" applyFont="1" applyFill="1" applyBorder="1" applyAlignment="1">
      <alignment horizontal="left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1"/>
  <sheetViews>
    <sheetView showGridLines="0" workbookViewId="0">
      <selection activeCell="A1" sqref="A1:F1"/>
    </sheetView>
  </sheetViews>
  <sheetFormatPr defaultColWidth="9" defaultRowHeight="16.8" outlineLevelCol="5"/>
  <cols>
    <col min="1" max="1" width="22" customWidth="1"/>
    <col min="2" max="2" width="16" customWidth="1"/>
    <col min="3" max="5" width="10" customWidth="1"/>
    <col min="6" max="6" width="30" customWidth="1"/>
  </cols>
  <sheetData>
    <row r="1" ht="28" customHeight="1" spans="1:5">
      <c r="A1" s="1" t="s">
        <v>0</v>
      </c>
    </row>
    <row r="2" spans="1:5">
      <c r="A2" s="2" t="s">
        <v>1</v>
      </c>
    </row>
    <row r="4" spans="1:5">
      <c r="A4" s="23" t="s">
        <v>2</v>
      </c>
    </row>
    <row r="5" ht="18" customHeight="1" spans="1:5">
      <c r="A5" s="24" t="s">
        <v>3</v>
      </c>
    </row>
    <row r="6" ht="18" customHeight="1" spans="1:5">
      <c r="A6" s="24" t="s">
        <v>4</v>
      </c>
    </row>
    <row r="7" ht="18" customHeight="1" spans="1:5">
      <c r="A7" s="24" t="s">
        <v>5</v>
      </c>
    </row>
    <row r="8" ht="18" customHeight="1" spans="1:5">
      <c r="A8" s="24" t="s">
        <v>6</v>
      </c>
    </row>
    <row r="10" spans="1:5">
      <c r="A10" s="23" t="s">
        <v>7</v>
      </c>
    </row>
    <row r="11" spans="1:5">
      <c r="A11" s="7" t="s">
        <v>8</v>
      </c>
      <c r="B11" s="7" t="s">
        <v>9</v>
      </c>
      <c r="C11" s="7" t="s">
        <v>10</v>
      </c>
      <c r="D11" s="7" t="s">
        <v>11</v>
      </c>
      <c r="E11" s="7" t="s">
        <v>12</v>
      </c>
    </row>
    <row r="12" spans="1:5">
      <c r="A12" s="25">
        <f>COUNTIF(测试用例!I:I,"通过")</f>
        <v>0</v>
      </c>
      <c r="B12" s="25">
        <f>COUNTIF(测试用例!I:I,"失败")</f>
        <v>0</v>
      </c>
      <c r="C12" s="25">
        <f>COUNTIF(测试用例!I:I,"阻塞")</f>
        <v>0</v>
      </c>
      <c r="D12" s="25">
        <f>COUNTIF(测试用例!I:I,"跳过")</f>
        <v>2</v>
      </c>
      <c r="E12" s="25">
        <f>COUNTIF(测试用例!I:I,"未测")</f>
        <v>27</v>
      </c>
    </row>
    <row r="13" spans="1:5">
      <c r="A13" s="26" t="s">
        <v>13</v>
      </c>
      <c r="B13" s="27" t="str">
        <f>COUNTIFS(测试用例!C:C,"P0必过",测试用例!I:I,"通过")&amp;" / 5"</f>
        <v>0 / 5</v>
      </c>
    </row>
    <row r="15" spans="1:5">
      <c r="A15" s="23" t="s">
        <v>14</v>
      </c>
    </row>
    <row r="16" ht="20" customHeight="1" spans="1:5">
      <c r="A16" s="28" t="s">
        <v>15</v>
      </c>
      <c r="B16" s="4" t="s">
        <v>16</v>
      </c>
    </row>
    <row r="17" ht="20" customHeight="1" spans="1:2">
      <c r="A17" s="28" t="s">
        <v>17</v>
      </c>
      <c r="B17" s="4" t="s">
        <v>18</v>
      </c>
    </row>
    <row r="18" ht="20" customHeight="1" spans="1:2">
      <c r="A18" s="28" t="s">
        <v>19</v>
      </c>
      <c r="B18" s="4" t="s">
        <v>20</v>
      </c>
    </row>
    <row r="19" ht="20" customHeight="1" spans="1:2">
      <c r="A19" s="28" t="s">
        <v>21</v>
      </c>
      <c r="B19" s="4" t="s">
        <v>22</v>
      </c>
    </row>
    <row r="20" ht="20" customHeight="1" spans="1:2">
      <c r="A20" s="28" t="s">
        <v>23</v>
      </c>
      <c r="B20" s="4" t="s">
        <v>24</v>
      </c>
    </row>
    <row r="21" ht="20" customHeight="1" spans="1:2">
      <c r="A21" s="28" t="s">
        <v>25</v>
      </c>
      <c r="B21" s="4" t="s">
        <v>26</v>
      </c>
    </row>
  </sheetData>
  <mergeCells count="12">
    <mergeCell ref="A1:F1"/>
    <mergeCell ref="A2:F2"/>
    <mergeCell ref="A5:F5"/>
    <mergeCell ref="A6:F6"/>
    <mergeCell ref="A7:F7"/>
    <mergeCell ref="A8:F8"/>
    <mergeCell ref="B16:F16"/>
    <mergeCell ref="B17:F17"/>
    <mergeCell ref="B18:F18"/>
    <mergeCell ref="B19:F19"/>
    <mergeCell ref="B20:F20"/>
    <mergeCell ref="B21:F2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3"/>
  <sheetViews>
    <sheetView showGridLines="0" workbookViewId="0">
      <pane xSplit="1" ySplit="4" topLeftCell="B15" activePane="bottomRight" state="frozen"/>
      <selection/>
      <selection pane="topRight"/>
      <selection pane="bottomLeft"/>
      <selection pane="bottomRight" activeCell="A1" sqref="A1:K1"/>
    </sheetView>
  </sheetViews>
  <sheetFormatPr defaultColWidth="9" defaultRowHeight="16.8"/>
  <cols>
    <col min="1" max="1" width="7" customWidth="1"/>
    <col min="2" max="2" width="10" customWidth="1"/>
    <col min="3" max="3" width="9" customWidth="1"/>
    <col min="4" max="4" width="16" customWidth="1"/>
    <col min="5" max="5" width="22" customWidth="1"/>
    <col min="6" max="6" width="26" customWidth="1"/>
    <col min="7" max="7" width="34" customWidth="1"/>
    <col min="8" max="8" width="14" customWidth="1"/>
    <col min="9" max="9" width="8" customWidth="1"/>
    <col min="10" max="10" width="22" customWidth="1"/>
    <col min="11" max="11" width="18" customWidth="1"/>
  </cols>
  <sheetData>
    <row r="1" ht="28" customHeight="1" spans="1:11">
      <c r="A1" s="1" t="s">
        <v>27</v>
      </c>
    </row>
    <row r="2" spans="1:11">
      <c r="A2" s="2" t="s">
        <v>28</v>
      </c>
    </row>
    <row r="4" spans="1:11">
      <c r="A4" s="7" t="s">
        <v>29</v>
      </c>
      <c r="B4" s="7" t="s">
        <v>30</v>
      </c>
      <c r="C4" s="7" t="s">
        <v>31</v>
      </c>
      <c r="D4" s="7" t="s">
        <v>32</v>
      </c>
      <c r="E4" s="7" t="s">
        <v>33</v>
      </c>
      <c r="F4" s="7" t="s">
        <v>34</v>
      </c>
      <c r="G4" s="7" t="s">
        <v>35</v>
      </c>
      <c r="H4" s="7" t="s">
        <v>36</v>
      </c>
      <c r="I4" s="7" t="s">
        <v>37</v>
      </c>
      <c r="J4" s="7" t="s">
        <v>38</v>
      </c>
      <c r="K4" s="7" t="s">
        <v>39</v>
      </c>
    </row>
    <row r="5" ht="44" customHeight="1" spans="1:11">
      <c r="A5" s="8" t="s">
        <v>40</v>
      </c>
      <c r="B5" s="10" t="s">
        <v>41</v>
      </c>
      <c r="C5" s="11" t="s">
        <v>42</v>
      </c>
      <c r="D5" s="4" t="s">
        <v>43</v>
      </c>
      <c r="E5" s="4" t="s">
        <v>44</v>
      </c>
      <c r="F5" s="4" t="s">
        <v>45</v>
      </c>
      <c r="G5" s="4" t="s">
        <v>46</v>
      </c>
      <c r="H5" s="8" t="s">
        <v>47</v>
      </c>
      <c r="I5" s="8" t="s">
        <v>12</v>
      </c>
      <c r="J5" s="4" t="s">
        <v>48</v>
      </c>
      <c r="K5" s="4" t="s">
        <v>48</v>
      </c>
    </row>
    <row r="6" ht="44" customHeight="1" spans="1:11">
      <c r="A6" s="8" t="s">
        <v>49</v>
      </c>
      <c r="B6" s="10" t="s">
        <v>41</v>
      </c>
      <c r="C6" s="12" t="s">
        <v>50</v>
      </c>
      <c r="D6" s="4" t="s">
        <v>51</v>
      </c>
      <c r="E6" s="4" t="s">
        <v>52</v>
      </c>
      <c r="F6" s="4" t="s">
        <v>53</v>
      </c>
      <c r="G6" s="4" t="s">
        <v>54</v>
      </c>
      <c r="H6" s="8" t="s">
        <v>47</v>
      </c>
      <c r="I6" s="8" t="s">
        <v>12</v>
      </c>
      <c r="J6" s="4" t="s">
        <v>48</v>
      </c>
      <c r="K6" s="4" t="s">
        <v>48</v>
      </c>
    </row>
    <row r="7" ht="44" customHeight="1" spans="1:11">
      <c r="A7" s="8" t="s">
        <v>55</v>
      </c>
      <c r="B7" s="10" t="s">
        <v>41</v>
      </c>
      <c r="C7" s="12" t="s">
        <v>50</v>
      </c>
      <c r="D7" s="4" t="s">
        <v>56</v>
      </c>
      <c r="E7" s="4" t="s">
        <v>57</v>
      </c>
      <c r="F7" s="4" t="s">
        <v>58</v>
      </c>
      <c r="G7" s="4" t="s">
        <v>59</v>
      </c>
      <c r="H7" s="8" t="s">
        <v>47</v>
      </c>
      <c r="I7" s="8" t="s">
        <v>12</v>
      </c>
      <c r="J7" s="4" t="s">
        <v>48</v>
      </c>
      <c r="K7" s="4" t="s">
        <v>48</v>
      </c>
    </row>
    <row r="8" ht="44" customHeight="1" spans="1:11">
      <c r="A8" s="8" t="s">
        <v>60</v>
      </c>
      <c r="B8" s="10" t="s">
        <v>41</v>
      </c>
      <c r="C8" s="11" t="s">
        <v>42</v>
      </c>
      <c r="D8" s="4" t="s">
        <v>61</v>
      </c>
      <c r="E8" s="4" t="s">
        <v>62</v>
      </c>
      <c r="F8" s="4" t="s">
        <v>63</v>
      </c>
      <c r="G8" s="4" t="s">
        <v>64</v>
      </c>
      <c r="H8" s="8" t="s">
        <v>65</v>
      </c>
      <c r="I8" s="8" t="s">
        <v>12</v>
      </c>
      <c r="J8" s="4" t="s">
        <v>48</v>
      </c>
      <c r="K8" s="4" t="s">
        <v>48</v>
      </c>
    </row>
    <row r="9" ht="44" customHeight="1" spans="1:11">
      <c r="A9" s="8" t="s">
        <v>66</v>
      </c>
      <c r="B9" s="13" t="s">
        <v>67</v>
      </c>
      <c r="C9" s="11" t="s">
        <v>42</v>
      </c>
      <c r="D9" s="4" t="s">
        <v>68</v>
      </c>
      <c r="E9" s="4" t="s">
        <v>69</v>
      </c>
      <c r="F9" s="4" t="s">
        <v>70</v>
      </c>
      <c r="G9" s="4" t="s">
        <v>71</v>
      </c>
      <c r="H9" s="8" t="s">
        <v>72</v>
      </c>
      <c r="I9" s="8" t="s">
        <v>12</v>
      </c>
      <c r="J9" s="4" t="s">
        <v>48</v>
      </c>
      <c r="K9" s="4" t="s">
        <v>48</v>
      </c>
    </row>
    <row r="10" ht="44" customHeight="1" spans="1:11">
      <c r="A10" s="8" t="s">
        <v>73</v>
      </c>
      <c r="B10" s="13" t="s">
        <v>67</v>
      </c>
      <c r="C10" s="11" t="s">
        <v>42</v>
      </c>
      <c r="D10" s="4" t="s">
        <v>74</v>
      </c>
      <c r="E10" s="4" t="s">
        <v>75</v>
      </c>
      <c r="F10" s="4" t="s">
        <v>76</v>
      </c>
      <c r="G10" s="4" t="s">
        <v>77</v>
      </c>
      <c r="H10" s="8" t="s">
        <v>72</v>
      </c>
      <c r="I10" s="8" t="s">
        <v>12</v>
      </c>
      <c r="J10" s="4" t="s">
        <v>48</v>
      </c>
      <c r="K10" s="4" t="s">
        <v>48</v>
      </c>
    </row>
    <row r="11" ht="44" customHeight="1" spans="1:11">
      <c r="A11" s="8" t="s">
        <v>78</v>
      </c>
      <c r="B11" s="13" t="s">
        <v>67</v>
      </c>
      <c r="C11" s="11" t="s">
        <v>42</v>
      </c>
      <c r="D11" s="4" t="s">
        <v>79</v>
      </c>
      <c r="E11" s="4" t="s">
        <v>80</v>
      </c>
      <c r="F11" s="4" t="s">
        <v>81</v>
      </c>
      <c r="G11" s="4" t="s">
        <v>82</v>
      </c>
      <c r="H11" s="8" t="s">
        <v>72</v>
      </c>
      <c r="I11" s="8" t="s">
        <v>12</v>
      </c>
      <c r="J11" s="4" t="s">
        <v>48</v>
      </c>
      <c r="K11" s="4" t="s">
        <v>48</v>
      </c>
    </row>
    <row r="12" ht="44" customHeight="1" spans="1:11">
      <c r="A12" s="8" t="s">
        <v>83</v>
      </c>
      <c r="B12" s="13" t="s">
        <v>67</v>
      </c>
      <c r="C12" s="11" t="s">
        <v>42</v>
      </c>
      <c r="D12" s="4" t="s">
        <v>84</v>
      </c>
      <c r="E12" s="4" t="s">
        <v>85</v>
      </c>
      <c r="F12" s="4" t="s">
        <v>86</v>
      </c>
      <c r="G12" s="4" t="s">
        <v>87</v>
      </c>
      <c r="H12" s="8" t="s">
        <v>88</v>
      </c>
      <c r="I12" s="8" t="s">
        <v>12</v>
      </c>
      <c r="J12" s="4" t="s">
        <v>48</v>
      </c>
      <c r="K12" s="4" t="s">
        <v>48</v>
      </c>
    </row>
    <row r="13" ht="44" customHeight="1" spans="1:11">
      <c r="A13" s="8" t="s">
        <v>89</v>
      </c>
      <c r="B13" s="13" t="s">
        <v>67</v>
      </c>
      <c r="C13" s="14" t="s">
        <v>90</v>
      </c>
      <c r="D13" s="4" t="s">
        <v>91</v>
      </c>
      <c r="E13" s="4" t="s">
        <v>92</v>
      </c>
      <c r="F13" s="4" t="s">
        <v>93</v>
      </c>
      <c r="G13" s="4" t="s">
        <v>94</v>
      </c>
      <c r="H13" s="8" t="s">
        <v>88</v>
      </c>
      <c r="I13" s="8" t="s">
        <v>12</v>
      </c>
      <c r="J13" s="4" t="s">
        <v>48</v>
      </c>
      <c r="K13" s="4" t="s">
        <v>48</v>
      </c>
    </row>
    <row r="14" ht="44" customHeight="1" spans="1:11">
      <c r="A14" s="8" t="s">
        <v>95</v>
      </c>
      <c r="B14" s="13" t="s">
        <v>67</v>
      </c>
      <c r="C14" s="14" t="s">
        <v>90</v>
      </c>
      <c r="D14" s="4" t="s">
        <v>96</v>
      </c>
      <c r="E14" s="4" t="s">
        <v>97</v>
      </c>
      <c r="F14" s="4" t="s">
        <v>98</v>
      </c>
      <c r="G14" s="4" t="s">
        <v>99</v>
      </c>
      <c r="H14" s="8" t="s">
        <v>100</v>
      </c>
      <c r="I14" s="8" t="s">
        <v>12</v>
      </c>
      <c r="J14" s="4" t="s">
        <v>48</v>
      </c>
      <c r="K14" s="4" t="s">
        <v>48</v>
      </c>
    </row>
    <row r="15" ht="44" customHeight="1" spans="1:11">
      <c r="A15" s="8" t="s">
        <v>101</v>
      </c>
      <c r="B15" s="13" t="s">
        <v>67</v>
      </c>
      <c r="C15" s="14" t="s">
        <v>90</v>
      </c>
      <c r="D15" s="4" t="s">
        <v>102</v>
      </c>
      <c r="E15" s="4" t="s">
        <v>103</v>
      </c>
      <c r="F15" s="4" t="s">
        <v>104</v>
      </c>
      <c r="G15" s="4" t="s">
        <v>105</v>
      </c>
      <c r="H15" s="8" t="s">
        <v>106</v>
      </c>
      <c r="I15" s="8" t="s">
        <v>12</v>
      </c>
      <c r="J15" s="4" t="s">
        <v>48</v>
      </c>
      <c r="K15" s="4" t="s">
        <v>48</v>
      </c>
    </row>
    <row r="16" ht="44" customHeight="1" spans="1:11">
      <c r="A16" s="8" t="s">
        <v>107</v>
      </c>
      <c r="B16" s="15" t="s">
        <v>108</v>
      </c>
      <c r="C16" s="12" t="s">
        <v>50</v>
      </c>
      <c r="D16" s="4" t="s">
        <v>109</v>
      </c>
      <c r="E16" s="4" t="s">
        <v>110</v>
      </c>
      <c r="F16" s="4" t="s">
        <v>111</v>
      </c>
      <c r="G16" s="4" t="s">
        <v>112</v>
      </c>
      <c r="H16" s="8" t="s">
        <v>47</v>
      </c>
      <c r="I16" s="8" t="s">
        <v>12</v>
      </c>
      <c r="J16" s="4" t="s">
        <v>48</v>
      </c>
      <c r="K16" s="4" t="s">
        <v>48</v>
      </c>
    </row>
    <row r="17" ht="44" customHeight="1" spans="1:11">
      <c r="A17" s="8" t="s">
        <v>113</v>
      </c>
      <c r="B17" s="15" t="s">
        <v>108</v>
      </c>
      <c r="C17" s="11" t="s">
        <v>42</v>
      </c>
      <c r="D17" s="4" t="s">
        <v>114</v>
      </c>
      <c r="E17" s="4" t="s">
        <v>115</v>
      </c>
      <c r="F17" s="4" t="s">
        <v>116</v>
      </c>
      <c r="G17" s="4" t="s">
        <v>117</v>
      </c>
      <c r="H17" s="8" t="s">
        <v>47</v>
      </c>
      <c r="I17" s="8" t="s">
        <v>12</v>
      </c>
      <c r="J17" s="4" t="s">
        <v>48</v>
      </c>
      <c r="K17" s="4" t="s">
        <v>48</v>
      </c>
    </row>
    <row r="18" ht="44" customHeight="1" spans="1:11">
      <c r="A18" s="8" t="s">
        <v>118</v>
      </c>
      <c r="B18" s="15" t="s">
        <v>108</v>
      </c>
      <c r="C18" s="12" t="s">
        <v>50</v>
      </c>
      <c r="D18" s="4" t="s">
        <v>119</v>
      </c>
      <c r="E18" s="4" t="s">
        <v>120</v>
      </c>
      <c r="F18" s="4" t="s">
        <v>121</v>
      </c>
      <c r="G18" s="4" t="s">
        <v>122</v>
      </c>
      <c r="H18" s="8" t="s">
        <v>47</v>
      </c>
      <c r="I18" s="8" t="s">
        <v>12</v>
      </c>
      <c r="J18" s="4" t="s">
        <v>48</v>
      </c>
      <c r="K18" s="4" t="s">
        <v>48</v>
      </c>
    </row>
    <row r="19" ht="44" customHeight="1" spans="1:11">
      <c r="A19" s="8" t="s">
        <v>123</v>
      </c>
      <c r="B19" s="15" t="s">
        <v>108</v>
      </c>
      <c r="C19" s="14" t="s">
        <v>90</v>
      </c>
      <c r="D19" s="4" t="s">
        <v>124</v>
      </c>
      <c r="E19" s="4" t="s">
        <v>125</v>
      </c>
      <c r="F19" s="4" t="s">
        <v>126</v>
      </c>
      <c r="G19" s="4" t="s">
        <v>127</v>
      </c>
      <c r="H19" s="8" t="s">
        <v>47</v>
      </c>
      <c r="I19" s="8" t="s">
        <v>12</v>
      </c>
      <c r="J19" s="4" t="s">
        <v>48</v>
      </c>
      <c r="K19" s="4" t="s">
        <v>48</v>
      </c>
    </row>
    <row r="20" ht="44" customHeight="1" spans="1:11">
      <c r="A20" s="8" t="s">
        <v>128</v>
      </c>
      <c r="B20" s="16" t="s">
        <v>129</v>
      </c>
      <c r="C20" s="11" t="s">
        <v>42</v>
      </c>
      <c r="D20" s="4" t="s">
        <v>130</v>
      </c>
      <c r="E20" s="4" t="s">
        <v>131</v>
      </c>
      <c r="F20" s="4" t="s">
        <v>132</v>
      </c>
      <c r="G20" s="4" t="s">
        <v>133</v>
      </c>
      <c r="H20" s="8" t="s">
        <v>134</v>
      </c>
      <c r="I20" s="8" t="s">
        <v>12</v>
      </c>
      <c r="J20" s="4" t="s">
        <v>48</v>
      </c>
      <c r="K20" s="4" t="s">
        <v>48</v>
      </c>
    </row>
    <row r="21" ht="44" customHeight="1" spans="1:11">
      <c r="A21" s="8" t="s">
        <v>135</v>
      </c>
      <c r="B21" s="16" t="s">
        <v>129</v>
      </c>
      <c r="C21" s="12" t="s">
        <v>50</v>
      </c>
      <c r="D21" s="4" t="s">
        <v>136</v>
      </c>
      <c r="E21" s="4" t="s">
        <v>137</v>
      </c>
      <c r="F21" s="4" t="s">
        <v>138</v>
      </c>
      <c r="G21" s="4" t="s">
        <v>139</v>
      </c>
      <c r="H21" s="8" t="s">
        <v>47</v>
      </c>
      <c r="I21" s="8" t="s">
        <v>12</v>
      </c>
      <c r="J21" s="4" t="s">
        <v>48</v>
      </c>
      <c r="K21" s="4" t="s">
        <v>48</v>
      </c>
    </row>
    <row r="22" ht="44" customHeight="1" spans="1:11">
      <c r="A22" s="8" t="s">
        <v>140</v>
      </c>
      <c r="B22" s="16" t="s">
        <v>129</v>
      </c>
      <c r="C22" s="14" t="s">
        <v>90</v>
      </c>
      <c r="D22" s="4" t="s">
        <v>141</v>
      </c>
      <c r="E22" s="4" t="s">
        <v>142</v>
      </c>
      <c r="F22" s="4" t="s">
        <v>143</v>
      </c>
      <c r="G22" s="4" t="s">
        <v>144</v>
      </c>
      <c r="H22" s="8" t="s">
        <v>145</v>
      </c>
      <c r="I22" s="8" t="s">
        <v>12</v>
      </c>
      <c r="J22" s="4" t="s">
        <v>48</v>
      </c>
      <c r="K22" s="4" t="s">
        <v>48</v>
      </c>
    </row>
    <row r="23" ht="44" customHeight="1" spans="1:11">
      <c r="A23" s="8" t="s">
        <v>146</v>
      </c>
      <c r="B23" s="16" t="s">
        <v>129</v>
      </c>
      <c r="C23" s="14" t="s">
        <v>90</v>
      </c>
      <c r="D23" s="4" t="s">
        <v>147</v>
      </c>
      <c r="E23" s="4" t="s">
        <v>148</v>
      </c>
      <c r="F23" s="4" t="s">
        <v>149</v>
      </c>
      <c r="G23" s="4" t="s">
        <v>150</v>
      </c>
      <c r="H23" s="8" t="s">
        <v>47</v>
      </c>
      <c r="I23" s="8" t="s">
        <v>12</v>
      </c>
      <c r="J23" s="4" t="s">
        <v>48</v>
      </c>
      <c r="K23" s="4" t="s">
        <v>48</v>
      </c>
    </row>
    <row r="24" ht="44" customHeight="1" spans="1:11">
      <c r="A24" s="8" t="s">
        <v>151</v>
      </c>
      <c r="B24" s="17" t="s">
        <v>152</v>
      </c>
      <c r="C24" s="11" t="s">
        <v>42</v>
      </c>
      <c r="D24" s="4" t="s">
        <v>153</v>
      </c>
      <c r="E24" s="4" t="s">
        <v>154</v>
      </c>
      <c r="F24" s="4" t="s">
        <v>155</v>
      </c>
      <c r="G24" s="4" t="s">
        <v>156</v>
      </c>
      <c r="H24" s="8" t="s">
        <v>47</v>
      </c>
      <c r="I24" s="8" t="s">
        <v>12</v>
      </c>
      <c r="J24" s="4" t="s">
        <v>48</v>
      </c>
      <c r="K24" s="4" t="s">
        <v>48</v>
      </c>
    </row>
    <row r="25" ht="44" customHeight="1" spans="1:11">
      <c r="A25" s="8" t="s">
        <v>157</v>
      </c>
      <c r="B25" s="17" t="s">
        <v>152</v>
      </c>
      <c r="C25" s="14" t="s">
        <v>90</v>
      </c>
      <c r="D25" s="4" t="s">
        <v>158</v>
      </c>
      <c r="E25" s="4" t="s">
        <v>159</v>
      </c>
      <c r="F25" s="4" t="s">
        <v>160</v>
      </c>
      <c r="G25" s="4" t="s">
        <v>161</v>
      </c>
      <c r="H25" s="8" t="s">
        <v>47</v>
      </c>
      <c r="I25" s="8" t="s">
        <v>12</v>
      </c>
      <c r="J25" s="4" t="s">
        <v>48</v>
      </c>
      <c r="K25" s="4" t="s">
        <v>48</v>
      </c>
    </row>
    <row r="26" ht="44" customHeight="1" spans="1:11">
      <c r="A26" s="18" t="s">
        <v>162</v>
      </c>
      <c r="B26" s="19" t="s">
        <v>152</v>
      </c>
      <c r="C26" s="20" t="s">
        <v>163</v>
      </c>
      <c r="D26" s="21" t="s">
        <v>164</v>
      </c>
      <c r="E26" s="21" t="s">
        <v>165</v>
      </c>
      <c r="F26" s="21" t="s">
        <v>166</v>
      </c>
      <c r="G26" s="21" t="s">
        <v>167</v>
      </c>
      <c r="H26" s="18" t="s">
        <v>168</v>
      </c>
      <c r="I26" s="18" t="s">
        <v>11</v>
      </c>
      <c r="J26" s="21" t="s">
        <v>48</v>
      </c>
      <c r="K26" s="21" t="s">
        <v>48</v>
      </c>
    </row>
    <row r="27" ht="44" customHeight="1" spans="1:11">
      <c r="A27" s="18" t="s">
        <v>169</v>
      </c>
      <c r="B27" s="19" t="s">
        <v>152</v>
      </c>
      <c r="C27" s="20" t="s">
        <v>163</v>
      </c>
      <c r="D27" s="21" t="s">
        <v>170</v>
      </c>
      <c r="E27" s="21" t="s">
        <v>171</v>
      </c>
      <c r="F27" s="21" t="s">
        <v>172</v>
      </c>
      <c r="G27" s="21" t="s">
        <v>173</v>
      </c>
      <c r="H27" s="18" t="s">
        <v>168</v>
      </c>
      <c r="I27" s="18" t="s">
        <v>11</v>
      </c>
      <c r="J27" s="21" t="s">
        <v>48</v>
      </c>
      <c r="K27" s="21" t="s">
        <v>48</v>
      </c>
    </row>
    <row r="28" ht="44" customHeight="1" spans="1:11">
      <c r="A28" s="8" t="s">
        <v>174</v>
      </c>
      <c r="B28" s="22" t="s">
        <v>175</v>
      </c>
      <c r="C28" s="14" t="s">
        <v>90</v>
      </c>
      <c r="D28" s="4" t="s">
        <v>176</v>
      </c>
      <c r="E28" s="4" t="s">
        <v>177</v>
      </c>
      <c r="F28" s="4" t="s">
        <v>178</v>
      </c>
      <c r="G28" s="4" t="s">
        <v>179</v>
      </c>
      <c r="H28" s="8" t="s">
        <v>47</v>
      </c>
      <c r="I28" s="8" t="s">
        <v>12</v>
      </c>
      <c r="J28" s="4" t="s">
        <v>48</v>
      </c>
      <c r="K28" s="4" t="s">
        <v>48</v>
      </c>
    </row>
    <row r="29" ht="44" customHeight="1" spans="1:11">
      <c r="A29" s="8" t="s">
        <v>180</v>
      </c>
      <c r="B29" s="22" t="s">
        <v>175</v>
      </c>
      <c r="C29" s="14" t="s">
        <v>90</v>
      </c>
      <c r="D29" s="4" t="s">
        <v>181</v>
      </c>
      <c r="E29" s="4" t="s">
        <v>182</v>
      </c>
      <c r="F29" s="4" t="s">
        <v>183</v>
      </c>
      <c r="G29" s="4" t="s">
        <v>184</v>
      </c>
      <c r="H29" s="8" t="s">
        <v>185</v>
      </c>
      <c r="I29" s="8" t="s">
        <v>12</v>
      </c>
      <c r="J29" s="4" t="s">
        <v>48</v>
      </c>
      <c r="K29" s="4" t="s">
        <v>48</v>
      </c>
    </row>
    <row r="30" ht="44" customHeight="1" spans="1:11">
      <c r="A30" s="8" t="s">
        <v>186</v>
      </c>
      <c r="B30" s="22" t="s">
        <v>175</v>
      </c>
      <c r="C30" s="14" t="s">
        <v>90</v>
      </c>
      <c r="D30" s="4" t="s">
        <v>187</v>
      </c>
      <c r="E30" s="4" t="s">
        <v>188</v>
      </c>
      <c r="F30" s="4" t="s">
        <v>189</v>
      </c>
      <c r="G30" s="4" t="s">
        <v>190</v>
      </c>
      <c r="H30" s="8" t="s">
        <v>47</v>
      </c>
      <c r="I30" s="8" t="s">
        <v>12</v>
      </c>
      <c r="J30" s="4" t="s">
        <v>48</v>
      </c>
      <c r="K30" s="4" t="s">
        <v>48</v>
      </c>
    </row>
    <row r="31" ht="44" customHeight="1" spans="1:11">
      <c r="A31" s="8" t="s">
        <v>191</v>
      </c>
      <c r="B31" s="22" t="s">
        <v>175</v>
      </c>
      <c r="C31" s="14" t="s">
        <v>90</v>
      </c>
      <c r="D31" s="4" t="s">
        <v>192</v>
      </c>
      <c r="E31" s="4" t="s">
        <v>125</v>
      </c>
      <c r="F31" s="4" t="s">
        <v>193</v>
      </c>
      <c r="G31" s="4" t="s">
        <v>194</v>
      </c>
      <c r="H31" s="8" t="s">
        <v>65</v>
      </c>
      <c r="I31" s="8" t="s">
        <v>12</v>
      </c>
      <c r="J31" s="4" t="s">
        <v>48</v>
      </c>
      <c r="K31" s="4" t="s">
        <v>48</v>
      </c>
    </row>
    <row r="32" ht="44" customHeight="1" spans="1:11">
      <c r="A32" s="8" t="s">
        <v>195</v>
      </c>
      <c r="B32" s="22" t="s">
        <v>175</v>
      </c>
      <c r="C32" s="14" t="s">
        <v>90</v>
      </c>
      <c r="D32" s="4" t="s">
        <v>196</v>
      </c>
      <c r="E32" s="4" t="s">
        <v>197</v>
      </c>
      <c r="F32" s="4" t="s">
        <v>198</v>
      </c>
      <c r="G32" s="4" t="s">
        <v>199</v>
      </c>
      <c r="H32" s="8" t="s">
        <v>200</v>
      </c>
      <c r="I32" s="8" t="s">
        <v>12</v>
      </c>
      <c r="J32" s="4" t="s">
        <v>48</v>
      </c>
      <c r="K32" s="4" t="s">
        <v>48</v>
      </c>
    </row>
    <row r="33" ht="44" customHeight="1" spans="1:11">
      <c r="A33" s="8" t="s">
        <v>201</v>
      </c>
      <c r="B33" s="22" t="s">
        <v>175</v>
      </c>
      <c r="C33" s="14" t="s">
        <v>90</v>
      </c>
      <c r="D33" s="4" t="s">
        <v>202</v>
      </c>
      <c r="E33" s="4" t="s">
        <v>203</v>
      </c>
      <c r="F33" s="4" t="s">
        <v>204</v>
      </c>
      <c r="G33" s="4" t="s">
        <v>205</v>
      </c>
      <c r="H33" s="8" t="s">
        <v>206</v>
      </c>
      <c r="I33" s="8" t="s">
        <v>12</v>
      </c>
      <c r="J33" s="4" t="s">
        <v>48</v>
      </c>
      <c r="K33" s="4" t="s">
        <v>48</v>
      </c>
    </row>
  </sheetData>
  <autoFilter xmlns:etc="http://www.wps.cn/officeDocument/2017/etCustomData" ref="A4:K33" etc:filterBottomFollowUsedRange="0">
    <extLst/>
  </autoFilter>
  <mergeCells count="2">
    <mergeCell ref="A1:K1"/>
    <mergeCell ref="A2:K2"/>
  </mergeCells>
  <dataValidations count="1">
    <dataValidation type="list" sqref="I5:I33">
      <formula1>"未测,通过,失败,阻塞,跳过"</formula1>
    </dataValidation>
  </dataValidation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3"/>
  <sheetViews>
    <sheetView showGridLines="0" tabSelected="1" workbookViewId="0">
      <selection activeCell="A1" sqref="A1:E1"/>
    </sheetView>
  </sheetViews>
  <sheetFormatPr defaultColWidth="9" defaultRowHeight="16.8" outlineLevelCol="4"/>
  <cols>
    <col min="1" max="1" width="16" customWidth="1"/>
    <col min="2" max="2" width="52" customWidth="1"/>
    <col min="3" max="3" width="22" customWidth="1"/>
    <col min="4" max="4" width="7" customWidth="1"/>
  </cols>
  <sheetData>
    <row r="1" ht="28" customHeight="1" spans="1:4">
      <c r="A1" s="1" t="s">
        <v>207</v>
      </c>
    </row>
    <row r="2" spans="1:4">
      <c r="A2" s="2" t="s">
        <v>208</v>
      </c>
    </row>
    <row r="4" spans="1:4">
      <c r="A4" s="7" t="s">
        <v>209</v>
      </c>
      <c r="B4" s="7" t="s">
        <v>210</v>
      </c>
      <c r="C4" s="7" t="s">
        <v>211</v>
      </c>
      <c r="D4" s="7" t="s">
        <v>212</v>
      </c>
    </row>
    <row r="5" ht="30" customHeight="1" spans="1:4">
      <c r="A5" s="8" t="s">
        <v>213</v>
      </c>
      <c r="B5" s="4" t="s">
        <v>214</v>
      </c>
      <c r="C5" s="8" t="s">
        <v>215</v>
      </c>
      <c r="D5" s="8" t="s">
        <v>48</v>
      </c>
    </row>
    <row r="6" ht="30" customHeight="1" spans="1:4">
      <c r="A6" s="8" t="s">
        <v>213</v>
      </c>
      <c r="B6" s="4" t="s">
        <v>216</v>
      </c>
      <c r="C6" s="9" t="s">
        <v>217</v>
      </c>
      <c r="D6" s="8" t="s">
        <v>48</v>
      </c>
    </row>
    <row r="7" ht="30" customHeight="1" spans="1:4">
      <c r="A7" s="8" t="s">
        <v>213</v>
      </c>
      <c r="B7" s="4" t="s">
        <v>218</v>
      </c>
      <c r="C7" s="8" t="s">
        <v>215</v>
      </c>
      <c r="D7" s="8" t="s">
        <v>48</v>
      </c>
    </row>
    <row r="8" ht="30" customHeight="1" spans="1:4">
      <c r="A8" s="8" t="s">
        <v>219</v>
      </c>
      <c r="B8" s="4" t="s">
        <v>220</v>
      </c>
      <c r="C8" s="8" t="s">
        <v>221</v>
      </c>
      <c r="D8" s="8" t="s">
        <v>48</v>
      </c>
    </row>
    <row r="9" ht="30" customHeight="1" spans="1:4">
      <c r="A9" s="8" t="s">
        <v>222</v>
      </c>
      <c r="B9" s="4" t="s">
        <v>223</v>
      </c>
      <c r="C9" s="8" t="s">
        <v>224</v>
      </c>
      <c r="D9" s="8" t="s">
        <v>48</v>
      </c>
    </row>
    <row r="10" ht="30" customHeight="1" spans="1:4">
      <c r="A10" s="8" t="s">
        <v>225</v>
      </c>
      <c r="B10" s="4" t="s">
        <v>226</v>
      </c>
      <c r="C10" s="8" t="s">
        <v>227</v>
      </c>
      <c r="D10" s="8" t="s">
        <v>48</v>
      </c>
    </row>
    <row r="11" ht="30" customHeight="1" spans="1:4">
      <c r="A11" s="8" t="s">
        <v>228</v>
      </c>
      <c r="B11" s="4" t="s">
        <v>229</v>
      </c>
      <c r="C11" s="8" t="s">
        <v>230</v>
      </c>
      <c r="D11" s="8" t="s">
        <v>48</v>
      </c>
    </row>
    <row r="12" ht="30" customHeight="1" spans="1:4">
      <c r="A12" s="8" t="s">
        <v>231</v>
      </c>
      <c r="B12" s="4" t="s">
        <v>232</v>
      </c>
      <c r="C12" s="8" t="s">
        <v>11</v>
      </c>
      <c r="D12" s="8" t="s">
        <v>48</v>
      </c>
    </row>
    <row r="13" ht="30" customHeight="1" spans="1:4">
      <c r="A13" s="8" t="s">
        <v>233</v>
      </c>
      <c r="B13" s="4" t="s">
        <v>234</v>
      </c>
      <c r="C13" s="8" t="s">
        <v>235</v>
      </c>
      <c r="D13" s="8" t="s">
        <v>48</v>
      </c>
    </row>
  </sheetData>
  <mergeCells count="2">
    <mergeCell ref="A1:E1"/>
    <mergeCell ref="A2:E2"/>
  </mergeCells>
  <dataValidations count="1">
    <dataValidation type="list" allowBlank="1" sqref="D5:D13">
      <formula1>"✓,✗,—"</formula1>
    </dataValidation>
  </dataValidation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showGridLines="0" workbookViewId="0">
      <selection activeCell="A1" sqref="A1:C1"/>
    </sheetView>
  </sheetViews>
  <sheetFormatPr defaultColWidth="9" defaultRowHeight="16.8" outlineLevelRow="7" outlineLevelCol="2"/>
  <cols>
    <col min="1" max="1" width="8" customWidth="1"/>
    <col min="2" max="2" width="60" customWidth="1"/>
    <col min="3" max="3" width="30" customWidth="1"/>
  </cols>
  <sheetData>
    <row r="1" ht="28" customHeight="1" spans="1:2">
      <c r="A1" s="1" t="s">
        <v>236</v>
      </c>
    </row>
    <row r="2" spans="1:2">
      <c r="A2" s="2" t="s">
        <v>237</v>
      </c>
    </row>
    <row r="4" ht="34" customHeight="1" spans="1:2">
      <c r="A4" s="3" t="s">
        <v>238</v>
      </c>
      <c r="B4" s="4" t="s">
        <v>239</v>
      </c>
    </row>
    <row r="5" ht="34" customHeight="1" spans="1:2">
      <c r="A5" s="3" t="s">
        <v>238</v>
      </c>
      <c r="B5" s="4" t="s">
        <v>240</v>
      </c>
    </row>
    <row r="6" ht="34" customHeight="1" spans="1:2">
      <c r="A6" s="5" t="s">
        <v>163</v>
      </c>
      <c r="B6" s="4" t="s">
        <v>241</v>
      </c>
    </row>
    <row r="7" ht="34" customHeight="1" spans="1:2">
      <c r="A7" s="5" t="s">
        <v>163</v>
      </c>
      <c r="B7" s="4" t="s">
        <v>242</v>
      </c>
    </row>
    <row r="8" ht="34" customHeight="1" spans="1:2">
      <c r="A8" s="6" t="s">
        <v>243</v>
      </c>
      <c r="B8" s="4" t="s">
        <v>244</v>
      </c>
    </row>
  </sheetData>
  <mergeCells count="7">
    <mergeCell ref="A1:C1"/>
    <mergeCell ref="A2:C2"/>
    <mergeCell ref="B4:C4"/>
    <mergeCell ref="B5:C5"/>
    <mergeCell ref="B6:C6"/>
    <mergeCell ref="B7:C7"/>
    <mergeCell ref="B8:C8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执行看板</vt:lpstr>
      <vt:lpstr>测试用例</vt:lpstr>
      <vt:lpstr>设备准备</vt:lpstr>
      <vt:lpstr>本轮口径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朱逸骁</cp:lastModifiedBy>
  <dcterms:created xsi:type="dcterms:W3CDTF">2026-07-08T15:41:00Z</dcterms:created>
  <dcterms:modified xsi:type="dcterms:W3CDTF">2026-07-08T15:49:33Z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2052-12.1.24031.24031</vt:lpwstr>
  </property>
  <property fmtid="{D5CDD505-2E9C-101B-9397-08002B2CF9AE}" pid="3" name="CalculationRule">
    <vt:i4>0</vt:i4>
  </property>
  <property fmtid="{D5CDD505-2E9C-101B-9397-08002B2CF9AE}" pid="4" name="ICV">
    <vt:lpwstr>E749A4B3BF2104830D014E6A67415945_42</vt:lpwstr>
  </property>
</Properties>
</file>